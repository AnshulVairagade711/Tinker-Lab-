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shul Vairagade\"/>
    </mc:Choice>
  </mc:AlternateContent>
  <bookViews>
    <workbookView xWindow="0" yWindow="0" windowWidth="17895" windowHeight="799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B2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M12" i="1"/>
  <c r="M13" i="1"/>
  <c r="K3" i="1"/>
  <c r="M3" i="1" s="1"/>
  <c r="K4" i="1"/>
  <c r="K5" i="1"/>
  <c r="M5" i="1" s="1"/>
  <c r="K6" i="1"/>
  <c r="M6" i="1" s="1"/>
  <c r="K7" i="1"/>
  <c r="K8" i="1"/>
  <c r="K9" i="1"/>
  <c r="M9" i="1" s="1"/>
  <c r="K10" i="1"/>
  <c r="K11" i="1"/>
  <c r="M11" i="1" s="1"/>
  <c r="K12" i="1"/>
  <c r="K13" i="1"/>
  <c r="K14" i="1"/>
  <c r="M14" i="1" s="1"/>
  <c r="K15" i="1"/>
  <c r="M15" i="1" s="1"/>
  <c r="K16" i="1"/>
  <c r="M16" i="1" s="1"/>
  <c r="K17" i="1"/>
  <c r="M17" i="1" s="1"/>
  <c r="K18" i="1"/>
  <c r="M18" i="1" s="1"/>
  <c r="K19" i="1"/>
  <c r="K20" i="1"/>
  <c r="M20" i="1" s="1"/>
  <c r="K21" i="1"/>
  <c r="M21" i="1" s="1"/>
  <c r="K2" i="1"/>
  <c r="M2" i="1" s="1"/>
  <c r="M10" i="1" l="1"/>
  <c r="M8" i="1"/>
  <c r="M4" i="1"/>
  <c r="M19" i="1"/>
  <c r="M7" i="1"/>
</calcChain>
</file>

<file path=xl/sharedStrings.xml><?xml version="1.0" encoding="utf-8"?>
<sst xmlns="http://schemas.openxmlformats.org/spreadsheetml/2006/main" count="55" uniqueCount="37">
  <si>
    <t>Name</t>
  </si>
  <si>
    <t>Sub1</t>
  </si>
  <si>
    <t>Sub2</t>
  </si>
  <si>
    <t>Sub3</t>
  </si>
  <si>
    <t>Sub4</t>
  </si>
  <si>
    <t>Sub5</t>
  </si>
  <si>
    <t>Total</t>
  </si>
  <si>
    <t>Percentage</t>
  </si>
  <si>
    <t>Result</t>
  </si>
  <si>
    <t>Distinction or No Distinction</t>
  </si>
  <si>
    <t>Optional</t>
  </si>
  <si>
    <t>A</t>
  </si>
  <si>
    <t>D</t>
  </si>
  <si>
    <t>B</t>
  </si>
  <si>
    <t>C</t>
  </si>
  <si>
    <t>Division</t>
  </si>
  <si>
    <t>PRN</t>
  </si>
  <si>
    <t>Student 20</t>
  </si>
  <si>
    <t>Student 1</t>
  </si>
  <si>
    <t>Student2</t>
  </si>
  <si>
    <t>Student 3</t>
  </si>
  <si>
    <t>Student 4</t>
  </si>
  <si>
    <t>Student 5</t>
  </si>
  <si>
    <t>Student 6</t>
  </si>
  <si>
    <t>Student 8</t>
  </si>
  <si>
    <t>Student 9</t>
  </si>
  <si>
    <t>Student 10</t>
  </si>
  <si>
    <t>Student 11</t>
  </si>
  <si>
    <t>Student 12</t>
  </si>
  <si>
    <t>Student 13</t>
  </si>
  <si>
    <t>Student 7</t>
  </si>
  <si>
    <t>Student 14</t>
  </si>
  <si>
    <t>Student 15</t>
  </si>
  <si>
    <t>Student 16</t>
  </si>
  <si>
    <t>Student 17</t>
  </si>
  <si>
    <t>Student 18</t>
  </si>
  <si>
    <t>Student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</si>
</sst>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130" zoomScaleNormal="130" workbookViewId="0">
      <selection activeCell="B21" sqref="B21"/>
    </sheetView>
  </sheetViews>
  <sheetFormatPr defaultRowHeight="15" x14ac:dyDescent="0.25"/>
  <cols>
    <col min="2" max="2" width="12.7109375" customWidth="1"/>
    <col min="10" max="10" width="10.7109375" customWidth="1"/>
    <col min="12" max="12" width="24.42578125" customWidth="1"/>
  </cols>
  <sheetData>
    <row r="1" spans="1:13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6</v>
      </c>
      <c r="J1" t="s">
        <v>7</v>
      </c>
      <c r="K1" t="s">
        <v>8</v>
      </c>
      <c r="L1" t="s">
        <v>9</v>
      </c>
      <c r="M1" t="s">
        <v>15</v>
      </c>
    </row>
    <row r="2" spans="1:13" x14ac:dyDescent="0.25">
      <c r="A2">
        <v>10001</v>
      </c>
      <c r="B2" t="s">
        <v>18</v>
      </c>
      <c r="C2">
        <v>87</v>
      </c>
      <c r="D2">
        <v>92</v>
      </c>
      <c r="E2">
        <v>78</v>
      </c>
      <c r="F2">
        <v>85</v>
      </c>
      <c r="G2">
        <v>90</v>
      </c>
      <c r="H2" t="s">
        <v>11</v>
      </c>
      <c r="I2">
        <v>432</v>
      </c>
      <c r="J2" s="1">
        <v>0.86399999999999999</v>
      </c>
      <c r="K2" t="str">
        <f>IF(AND(C2&gt;=50,D2&gt;=50,E2&gt;=50,F2&gt;=50,G2&gt;=50),"Pass","Fail")</f>
        <v>Pass</v>
      </c>
      <c r="L2" t="str">
        <f>IF(AND(K2="Pass",J2&gt;=75),"Distinction","No Distinction")</f>
        <v>No Distinction</v>
      </c>
      <c r="M2" t="str">
        <f>IF(AND(K2="pass",J2&gt;=30,J2&lt;60),"1st Div","2nd Div")</f>
        <v>2nd Div</v>
      </c>
    </row>
    <row r="3" spans="1:13" x14ac:dyDescent="0.25">
      <c r="A3">
        <v>10001</v>
      </c>
      <c r="B3" t="s">
        <v>19</v>
      </c>
      <c r="C3">
        <v>75</v>
      </c>
      <c r="D3">
        <v>80</v>
      </c>
      <c r="E3">
        <v>65</v>
      </c>
      <c r="F3">
        <v>70</v>
      </c>
      <c r="G3">
        <v>0</v>
      </c>
      <c r="H3" t="s">
        <v>13</v>
      </c>
      <c r="I3">
        <v>362</v>
      </c>
      <c r="J3" s="1">
        <v>0.72399999999999998</v>
      </c>
      <c r="K3" t="str">
        <f t="shared" ref="K3:K21" si="0">IF(AND(C3&gt;=50,D3&gt;=50,E3&gt;=50,F3&gt;=50,G3&gt;=50),"Pass","Fail")</f>
        <v>Fail</v>
      </c>
      <c r="L3" t="str">
        <f t="shared" ref="L3:L21" si="1">IF(AND(K3="Pass",J3&gt;=75),"Distinction","No Distinction")</f>
        <v>No Distinction</v>
      </c>
      <c r="M3" t="str">
        <f t="shared" ref="M3:M21" si="2">IF(AND(K3="pass",J3&gt;=30,J3&lt;60),"1st Div","2nd Div")</f>
        <v>2nd Div</v>
      </c>
    </row>
    <row r="4" spans="1:13" x14ac:dyDescent="0.25">
      <c r="A4">
        <v>10001</v>
      </c>
      <c r="B4" t="s">
        <v>20</v>
      </c>
      <c r="C4">
        <v>90</v>
      </c>
      <c r="D4">
        <v>88</v>
      </c>
      <c r="E4">
        <v>91</v>
      </c>
      <c r="F4">
        <v>93</v>
      </c>
      <c r="G4">
        <v>89</v>
      </c>
      <c r="H4" t="s">
        <v>14</v>
      </c>
      <c r="I4">
        <v>451</v>
      </c>
      <c r="J4" s="1">
        <v>0.90200000000000002</v>
      </c>
      <c r="K4" t="str">
        <f t="shared" si="0"/>
        <v>Pass</v>
      </c>
      <c r="L4" t="str">
        <f t="shared" si="1"/>
        <v>No Distinction</v>
      </c>
      <c r="M4" t="str">
        <f t="shared" si="2"/>
        <v>2nd Div</v>
      </c>
    </row>
    <row r="5" spans="1:13" x14ac:dyDescent="0.25">
      <c r="A5">
        <v>10001</v>
      </c>
      <c r="B5" t="s">
        <v>21</v>
      </c>
      <c r="C5">
        <v>60</v>
      </c>
      <c r="D5">
        <v>70</v>
      </c>
      <c r="E5">
        <v>58</v>
      </c>
      <c r="F5">
        <v>65</v>
      </c>
      <c r="G5">
        <v>62</v>
      </c>
      <c r="H5" t="s">
        <v>12</v>
      </c>
      <c r="I5">
        <v>315</v>
      </c>
      <c r="J5" s="1">
        <v>0.63</v>
      </c>
      <c r="K5" t="str">
        <f t="shared" si="0"/>
        <v>Pass</v>
      </c>
      <c r="L5" t="str">
        <f t="shared" si="1"/>
        <v>No Distinction</v>
      </c>
      <c r="M5" t="str">
        <f t="shared" si="2"/>
        <v>2nd Div</v>
      </c>
    </row>
    <row r="6" spans="1:13" x14ac:dyDescent="0.25">
      <c r="A6">
        <v>10001</v>
      </c>
      <c r="B6" t="s">
        <v>22</v>
      </c>
      <c r="C6">
        <v>95</v>
      </c>
      <c r="D6">
        <v>92</v>
      </c>
      <c r="E6">
        <v>96</v>
      </c>
      <c r="F6">
        <v>94</v>
      </c>
      <c r="G6">
        <v>97</v>
      </c>
      <c r="H6" t="s">
        <v>11</v>
      </c>
      <c r="I6">
        <v>474</v>
      </c>
      <c r="J6" s="1">
        <v>0.94799999999999995</v>
      </c>
      <c r="K6" t="str">
        <f t="shared" si="0"/>
        <v>Pass</v>
      </c>
      <c r="L6" t="str">
        <f t="shared" si="1"/>
        <v>No Distinction</v>
      </c>
      <c r="M6" t="str">
        <f t="shared" si="2"/>
        <v>2nd Div</v>
      </c>
    </row>
    <row r="7" spans="1:13" x14ac:dyDescent="0.25">
      <c r="A7">
        <v>10001</v>
      </c>
      <c r="B7" t="s">
        <v>23</v>
      </c>
      <c r="C7">
        <v>55</v>
      </c>
      <c r="D7">
        <v>60</v>
      </c>
      <c r="E7">
        <v>63</v>
      </c>
      <c r="F7">
        <v>58</v>
      </c>
      <c r="G7">
        <v>66</v>
      </c>
      <c r="H7" t="s">
        <v>13</v>
      </c>
      <c r="I7">
        <v>302</v>
      </c>
      <c r="J7" s="1">
        <v>0.60399999999999998</v>
      </c>
      <c r="K7" t="str">
        <f t="shared" si="0"/>
        <v>Pass</v>
      </c>
      <c r="L7" t="str">
        <f t="shared" si="1"/>
        <v>No Distinction</v>
      </c>
      <c r="M7" t="str">
        <f t="shared" si="2"/>
        <v>2nd Div</v>
      </c>
    </row>
    <row r="8" spans="1:13" x14ac:dyDescent="0.25">
      <c r="A8">
        <v>10001</v>
      </c>
      <c r="B8" t="s">
        <v>30</v>
      </c>
      <c r="C8">
        <v>88</v>
      </c>
      <c r="D8">
        <v>85</v>
      </c>
      <c r="E8">
        <v>90</v>
      </c>
      <c r="F8">
        <v>87</v>
      </c>
      <c r="G8">
        <v>89</v>
      </c>
      <c r="H8" t="s">
        <v>14</v>
      </c>
      <c r="I8">
        <v>439</v>
      </c>
      <c r="J8" s="1">
        <v>0.878</v>
      </c>
      <c r="K8" t="str">
        <f t="shared" si="0"/>
        <v>Pass</v>
      </c>
      <c r="L8" t="str">
        <f t="shared" si="1"/>
        <v>No Distinction</v>
      </c>
      <c r="M8" t="str">
        <f t="shared" si="2"/>
        <v>2nd Div</v>
      </c>
    </row>
    <row r="9" spans="1:13" x14ac:dyDescent="0.25">
      <c r="A9">
        <v>10001</v>
      </c>
      <c r="B9" t="s">
        <v>24</v>
      </c>
      <c r="C9">
        <v>0</v>
      </c>
      <c r="D9">
        <v>68</v>
      </c>
      <c r="E9">
        <v>65</v>
      </c>
      <c r="F9">
        <v>75</v>
      </c>
      <c r="G9">
        <v>72</v>
      </c>
      <c r="H9" t="s">
        <v>12</v>
      </c>
      <c r="I9">
        <v>350</v>
      </c>
      <c r="J9" s="1">
        <v>0.7</v>
      </c>
      <c r="K9" t="str">
        <f t="shared" si="0"/>
        <v>Fail</v>
      </c>
      <c r="L9" t="str">
        <f t="shared" si="1"/>
        <v>No Distinction</v>
      </c>
      <c r="M9" t="str">
        <f t="shared" si="2"/>
        <v>2nd Div</v>
      </c>
    </row>
    <row r="10" spans="1:13" x14ac:dyDescent="0.25">
      <c r="A10">
        <v>10001</v>
      </c>
      <c r="B10" t="s">
        <v>25</v>
      </c>
      <c r="C10">
        <v>92</v>
      </c>
      <c r="D10">
        <v>94</v>
      </c>
      <c r="E10">
        <v>91</v>
      </c>
      <c r="F10">
        <v>90</v>
      </c>
      <c r="G10">
        <v>93</v>
      </c>
      <c r="H10" t="s">
        <v>11</v>
      </c>
      <c r="I10">
        <v>460</v>
      </c>
      <c r="J10" s="1">
        <v>0.92</v>
      </c>
      <c r="K10" t="str">
        <f t="shared" si="0"/>
        <v>Pass</v>
      </c>
      <c r="L10" t="str">
        <f t="shared" si="1"/>
        <v>No Distinction</v>
      </c>
      <c r="M10" t="str">
        <f t="shared" si="2"/>
        <v>2nd Div</v>
      </c>
    </row>
    <row r="11" spans="1:13" x14ac:dyDescent="0.25">
      <c r="A11">
        <v>10001</v>
      </c>
      <c r="B11" t="s">
        <v>26</v>
      </c>
      <c r="C11">
        <v>82</v>
      </c>
      <c r="D11">
        <v>79</v>
      </c>
      <c r="E11">
        <v>80</v>
      </c>
      <c r="F11">
        <v>78</v>
      </c>
      <c r="G11">
        <v>85</v>
      </c>
      <c r="H11" t="s">
        <v>13</v>
      </c>
      <c r="I11">
        <v>404</v>
      </c>
      <c r="J11" s="1">
        <v>0.80800000000000005</v>
      </c>
      <c r="K11" t="str">
        <f t="shared" si="0"/>
        <v>Pass</v>
      </c>
      <c r="L11" t="str">
        <f t="shared" si="1"/>
        <v>No Distinction</v>
      </c>
      <c r="M11" t="str">
        <f t="shared" si="2"/>
        <v>2nd Div</v>
      </c>
    </row>
    <row r="12" spans="1:13" x14ac:dyDescent="0.25">
      <c r="A12">
        <v>10001</v>
      </c>
      <c r="B12" t="s">
        <v>27</v>
      </c>
      <c r="C12">
        <v>77</v>
      </c>
      <c r="D12">
        <v>85</v>
      </c>
      <c r="E12">
        <v>79</v>
      </c>
      <c r="F12">
        <v>84</v>
      </c>
      <c r="G12">
        <v>82</v>
      </c>
      <c r="H12" t="s">
        <v>14</v>
      </c>
      <c r="I12">
        <v>407</v>
      </c>
      <c r="J12" s="1">
        <v>0.81399999999999995</v>
      </c>
      <c r="K12" t="str">
        <f t="shared" si="0"/>
        <v>Pass</v>
      </c>
      <c r="L12" t="str">
        <f t="shared" si="1"/>
        <v>No Distinction</v>
      </c>
      <c r="M12" t="str">
        <f t="shared" si="2"/>
        <v>2nd Div</v>
      </c>
    </row>
    <row r="13" spans="1:13" x14ac:dyDescent="0.25">
      <c r="A13">
        <v>10001</v>
      </c>
      <c r="B13" t="s">
        <v>28</v>
      </c>
      <c r="C13">
        <v>69</v>
      </c>
      <c r="D13">
        <v>0</v>
      </c>
      <c r="E13">
        <v>70</v>
      </c>
      <c r="F13">
        <v>68</v>
      </c>
      <c r="G13">
        <v>71</v>
      </c>
      <c r="H13" t="s">
        <v>12</v>
      </c>
      <c r="I13">
        <v>350</v>
      </c>
      <c r="J13" s="1">
        <v>0.7</v>
      </c>
      <c r="K13" t="str">
        <f t="shared" si="0"/>
        <v>Fail</v>
      </c>
      <c r="L13" t="str">
        <f t="shared" si="1"/>
        <v>No Distinction</v>
      </c>
      <c r="M13" t="str">
        <f t="shared" si="2"/>
        <v>2nd Div</v>
      </c>
    </row>
    <row r="14" spans="1:13" x14ac:dyDescent="0.25">
      <c r="A14">
        <v>10001</v>
      </c>
      <c r="B14" t="s">
        <v>29</v>
      </c>
      <c r="C14">
        <v>91</v>
      </c>
      <c r="D14">
        <v>89</v>
      </c>
      <c r="E14">
        <v>92</v>
      </c>
      <c r="F14">
        <v>90</v>
      </c>
      <c r="G14">
        <v>93</v>
      </c>
      <c r="H14" t="s">
        <v>11</v>
      </c>
      <c r="I14">
        <v>455</v>
      </c>
      <c r="J14" s="1">
        <v>0.91</v>
      </c>
      <c r="K14" t="str">
        <f t="shared" si="0"/>
        <v>Pass</v>
      </c>
      <c r="L14" t="str">
        <f t="shared" si="1"/>
        <v>No Distinction</v>
      </c>
      <c r="M14" t="str">
        <f t="shared" si="2"/>
        <v>2nd Div</v>
      </c>
    </row>
    <row r="15" spans="1:13" x14ac:dyDescent="0.25">
      <c r="A15">
        <v>10001</v>
      </c>
      <c r="B15" t="s">
        <v>31</v>
      </c>
      <c r="C15">
        <v>85</v>
      </c>
      <c r="D15">
        <v>88</v>
      </c>
      <c r="E15">
        <v>87</v>
      </c>
      <c r="F15">
        <v>90</v>
      </c>
      <c r="G15">
        <v>86</v>
      </c>
      <c r="H15" t="s">
        <v>13</v>
      </c>
      <c r="I15">
        <v>436</v>
      </c>
      <c r="J15" s="1">
        <v>0.872</v>
      </c>
      <c r="K15" t="str">
        <f t="shared" si="0"/>
        <v>Pass</v>
      </c>
      <c r="L15" t="str">
        <f t="shared" si="1"/>
        <v>No Distinction</v>
      </c>
      <c r="M15" t="str">
        <f t="shared" si="2"/>
        <v>2nd Div</v>
      </c>
    </row>
    <row r="16" spans="1:13" x14ac:dyDescent="0.25">
      <c r="A16">
        <v>10001</v>
      </c>
      <c r="B16" t="s">
        <v>32</v>
      </c>
      <c r="C16">
        <v>60</v>
      </c>
      <c r="D16">
        <v>62</v>
      </c>
      <c r="E16">
        <v>59</v>
      </c>
      <c r="F16">
        <v>64</v>
      </c>
      <c r="G16">
        <v>61</v>
      </c>
      <c r="H16" t="s">
        <v>14</v>
      </c>
      <c r="I16">
        <v>306</v>
      </c>
      <c r="J16" s="1">
        <v>0.61199999999999999</v>
      </c>
      <c r="K16" t="str">
        <f t="shared" si="0"/>
        <v>Pass</v>
      </c>
      <c r="L16" t="str">
        <f t="shared" si="1"/>
        <v>No Distinction</v>
      </c>
      <c r="M16" t="str">
        <f t="shared" si="2"/>
        <v>2nd Div</v>
      </c>
    </row>
    <row r="17" spans="1:13" x14ac:dyDescent="0.25">
      <c r="A17">
        <v>10001</v>
      </c>
      <c r="B17" t="s">
        <v>33</v>
      </c>
      <c r="C17">
        <v>73</v>
      </c>
      <c r="D17">
        <v>70</v>
      </c>
      <c r="E17">
        <v>75</v>
      </c>
      <c r="F17">
        <v>78</v>
      </c>
      <c r="G17">
        <v>72</v>
      </c>
      <c r="H17" t="s">
        <v>12</v>
      </c>
      <c r="I17">
        <v>368</v>
      </c>
      <c r="J17" s="1">
        <v>0.73599999999999999</v>
      </c>
      <c r="K17" t="str">
        <f t="shared" si="0"/>
        <v>Pass</v>
      </c>
      <c r="L17" t="str">
        <f t="shared" si="1"/>
        <v>No Distinction</v>
      </c>
      <c r="M17" t="str">
        <f t="shared" si="2"/>
        <v>2nd Div</v>
      </c>
    </row>
    <row r="18" spans="1:13" x14ac:dyDescent="0.25">
      <c r="A18">
        <v>10001</v>
      </c>
      <c r="B18" t="s">
        <v>34</v>
      </c>
      <c r="C18">
        <v>89</v>
      </c>
      <c r="D18">
        <v>85</v>
      </c>
      <c r="E18">
        <v>88</v>
      </c>
      <c r="F18">
        <v>0</v>
      </c>
      <c r="G18">
        <v>86</v>
      </c>
      <c r="H18" t="s">
        <v>11</v>
      </c>
      <c r="I18">
        <v>432</v>
      </c>
      <c r="J18" s="1">
        <v>0.86399999999999999</v>
      </c>
      <c r="K18" t="str">
        <f t="shared" si="0"/>
        <v>Fail</v>
      </c>
      <c r="L18" t="str">
        <f t="shared" si="1"/>
        <v>No Distinction</v>
      </c>
      <c r="M18" t="str">
        <f t="shared" si="2"/>
        <v>2nd Div</v>
      </c>
    </row>
    <row r="19" spans="1:13" x14ac:dyDescent="0.25">
      <c r="A19">
        <v>10001</v>
      </c>
      <c r="B19" t="s">
        <v>35</v>
      </c>
      <c r="C19">
        <v>95</v>
      </c>
      <c r="D19">
        <v>98</v>
      </c>
      <c r="E19">
        <v>97</v>
      </c>
      <c r="F19">
        <v>96</v>
      </c>
      <c r="G19">
        <v>94</v>
      </c>
      <c r="H19" t="s">
        <v>13</v>
      </c>
      <c r="I19">
        <v>480</v>
      </c>
      <c r="J19" s="1">
        <v>0.96</v>
      </c>
      <c r="K19" t="str">
        <f t="shared" si="0"/>
        <v>Pass</v>
      </c>
      <c r="L19" t="str">
        <f t="shared" si="1"/>
        <v>No Distinction</v>
      </c>
      <c r="M19" t="str">
        <f t="shared" si="2"/>
        <v>2nd Div</v>
      </c>
    </row>
    <row r="20" spans="1:13" x14ac:dyDescent="0.25">
      <c r="A20">
        <v>10001</v>
      </c>
      <c r="B20" t="s">
        <v>36</v>
      </c>
      <c r="C20">
        <v>65</v>
      </c>
      <c r="D20">
        <v>62</v>
      </c>
      <c r="E20">
        <v>60</v>
      </c>
      <c r="F20">
        <v>68</v>
      </c>
      <c r="G20">
        <v>70</v>
      </c>
      <c r="H20" t="s">
        <v>14</v>
      </c>
      <c r="I20">
        <v>325</v>
      </c>
      <c r="J20" s="1">
        <v>0.65</v>
      </c>
      <c r="K20" t="str">
        <f t="shared" si="0"/>
        <v>Pass</v>
      </c>
      <c r="L20" t="str">
        <f t="shared" si="1"/>
        <v>No Distinction</v>
      </c>
      <c r="M20" t="str">
        <f t="shared" si="2"/>
        <v>2nd Div</v>
      </c>
    </row>
    <row r="21" spans="1:13" x14ac:dyDescent="0.25">
      <c r="A21">
        <v>10001</v>
      </c>
      <c r="B21" t="s">
        <v>17</v>
      </c>
      <c r="C21">
        <v>84</v>
      </c>
      <c r="D21">
        <v>88</v>
      </c>
      <c r="E21">
        <v>86</v>
      </c>
      <c r="F21">
        <v>89</v>
      </c>
      <c r="G21">
        <v>85</v>
      </c>
      <c r="H21" t="s">
        <v>12</v>
      </c>
      <c r="I21">
        <v>432</v>
      </c>
      <c r="J21" s="1">
        <v>0.86399999999999999</v>
      </c>
      <c r="K21" t="str">
        <f t="shared" si="0"/>
        <v>Pass</v>
      </c>
      <c r="L21" t="str">
        <f t="shared" si="1"/>
        <v>No Distinction</v>
      </c>
      <c r="M21" t="str">
        <f t="shared" si="2"/>
        <v>2nd Div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130" zoomScaleNormal="130" workbookViewId="0">
      <selection activeCell="B5" sqref="B5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16</v>
      </c>
      <c r="B1" t="s">
        <v>0</v>
      </c>
    </row>
    <row r="2" spans="1:2" x14ac:dyDescent="0.25">
      <c r="A2" s="2">
        <v>10001</v>
      </c>
      <c r="B2" t="str">
        <f>VLOOKUP(A2,Sheet1!A1:M21,2,0)</f>
        <v>Student 1</v>
      </c>
    </row>
    <row r="3" spans="1:2" x14ac:dyDescent="0.25">
      <c r="A3">
        <v>10002</v>
      </c>
      <c r="B3" t="e">
        <f>VLOOKUP(A3,Sheet1!A2:M21,2,0)</f>
        <v>#N/A</v>
      </c>
    </row>
    <row r="4" spans="1:2" x14ac:dyDescent="0.25">
      <c r="A4">
        <v>10003</v>
      </c>
      <c r="B4" t="e">
        <f>VLOOKUP(B3,Sheet1!A3:M23,2,0)</f>
        <v>#N/A</v>
      </c>
    </row>
    <row r="5" spans="1:2" x14ac:dyDescent="0.25">
      <c r="A5">
        <v>10004</v>
      </c>
      <c r="B5" t="e">
        <f>VLOOKUP(A5,Sheet1!A4:M24,2,0)</f>
        <v>#N/A</v>
      </c>
    </row>
    <row r="6" spans="1:2" x14ac:dyDescent="0.25">
      <c r="A6">
        <v>10005</v>
      </c>
      <c r="B6" t="e">
        <f>VLOOKUP(A6,Sheet1!A5:M25,2,0)</f>
        <v>#N/A</v>
      </c>
    </row>
    <row r="7" spans="1:2" x14ac:dyDescent="0.25">
      <c r="A7">
        <v>10006</v>
      </c>
      <c r="B7" t="e">
        <f>VLOOKUP(A7,Sheet1!A6:M26,2,0)</f>
        <v>#N/A</v>
      </c>
    </row>
    <row r="8" spans="1:2" x14ac:dyDescent="0.25">
      <c r="A8">
        <v>10007</v>
      </c>
      <c r="B8" t="e">
        <f>VLOOKUP(A8,Sheet1!A7:M27,2,0)</f>
        <v>#N/A</v>
      </c>
    </row>
    <row r="9" spans="1:2" x14ac:dyDescent="0.25">
      <c r="A9">
        <v>10008</v>
      </c>
      <c r="B9" t="e">
        <f>VLOOKUP(A9,Sheet1!A8:M28,2,0)</f>
        <v>#N/A</v>
      </c>
    </row>
    <row r="10" spans="1:2" x14ac:dyDescent="0.25">
      <c r="A10">
        <v>10009</v>
      </c>
      <c r="B10" t="e">
        <f>VLOOKUP(A10,Sheet1!A9:M29,2,0)</f>
        <v>#N/A</v>
      </c>
    </row>
    <row r="11" spans="1:2" x14ac:dyDescent="0.25">
      <c r="A11">
        <v>10010</v>
      </c>
      <c r="B11" t="e">
        <f>VLOOKUP(A11,Sheet1!A10:M30,2,0)</f>
        <v>#N/A</v>
      </c>
    </row>
    <row r="12" spans="1:2" x14ac:dyDescent="0.25">
      <c r="A12">
        <v>10011</v>
      </c>
      <c r="B12" t="e">
        <f>VLOOKUP(A12,Sheet1!A11:M31,2,0)</f>
        <v>#N/A</v>
      </c>
    </row>
    <row r="13" spans="1:2" x14ac:dyDescent="0.25">
      <c r="A13">
        <v>10012</v>
      </c>
      <c r="B13" t="e">
        <f>VLOOKUP(A13,Sheet1!A12:M32,2,0)</f>
        <v>#N/A</v>
      </c>
    </row>
    <row r="14" spans="1:2" x14ac:dyDescent="0.25">
      <c r="A14">
        <v>10013</v>
      </c>
      <c r="B14" t="e">
        <f>VLOOKUP(A14,Sheet1!A13:M33,2,0)</f>
        <v>#N/A</v>
      </c>
    </row>
    <row r="15" spans="1:2" x14ac:dyDescent="0.25">
      <c r="A15">
        <v>10014</v>
      </c>
      <c r="B15" t="e">
        <f>VLOOKUP(A15,Sheet1!A14:M34,2,0)</f>
        <v>#N/A</v>
      </c>
    </row>
    <row r="16" spans="1:2" x14ac:dyDescent="0.25">
      <c r="A16">
        <v>10015</v>
      </c>
      <c r="B16" t="e">
        <f>VLOOKUP(A16,Sheet1!A15:M35,2,0)</f>
        <v>#N/A</v>
      </c>
    </row>
    <row r="17" spans="1:2" x14ac:dyDescent="0.25">
      <c r="A17">
        <v>10016</v>
      </c>
      <c r="B17" t="e">
        <f>VLOOKUP(A17,Sheet1!A16:M36,2,0)</f>
        <v>#N/A</v>
      </c>
    </row>
    <row r="18" spans="1:2" x14ac:dyDescent="0.25">
      <c r="A18">
        <v>10017</v>
      </c>
      <c r="B18" t="e">
        <f>VLOOKUP(A18,Sheet1!A17:M37,2,0)</f>
        <v>#N/A</v>
      </c>
    </row>
    <row r="19" spans="1:2" x14ac:dyDescent="0.25">
      <c r="A19">
        <v>10018</v>
      </c>
      <c r="B19" t="e">
        <f>VLOOKUP(A19,Sheet1!A18:M38,2,0)</f>
        <v>#N/A</v>
      </c>
    </row>
    <row r="20" spans="1:2" x14ac:dyDescent="0.25">
      <c r="A20">
        <v>10019</v>
      </c>
      <c r="B20" t="e">
        <f>VLOOKUP(A20,Sheet1!A19:M39,2,0)</f>
        <v>#N/A</v>
      </c>
    </row>
    <row r="21" spans="1:2" x14ac:dyDescent="0.25">
      <c r="A21">
        <v>10020</v>
      </c>
      <c r="B21" t="e">
        <f>VLOOKUP(A21,Sheet1!A20:M40,2,0)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SIT NGP. LAB6</cp:lastModifiedBy>
  <dcterms:created xsi:type="dcterms:W3CDTF">2025-10-09T03:53:59Z</dcterms:created>
  <dcterms:modified xsi:type="dcterms:W3CDTF">2025-10-09T05:16:01Z</dcterms:modified>
</cp:coreProperties>
</file>